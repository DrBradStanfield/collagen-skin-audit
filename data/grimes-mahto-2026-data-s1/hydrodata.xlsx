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ropbox\Archive\OldPapersMaterial\Collagen\"/>
    </mc:Choice>
  </mc:AlternateContent>
  <xr:revisionPtr revIDLastSave="0" documentId="13_ncr:1_{55375D69-EE06-430F-9FD7-DF5489D64BE8}" xr6:coauthVersionLast="47" xr6:coauthVersionMax="47" xr10:uidLastSave="{00000000-0000-0000-0000-000000000000}"/>
  <bookViews>
    <workbookView xWindow="-108" yWindow="-108" windowWidth="23256" windowHeight="12576" xr2:uid="{48E7E6A4-40A7-4B1A-9765-8475138B92BB}"/>
  </bookViews>
  <sheets>
    <sheet name="Hydrati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J17" i="1"/>
  <c r="H17" i="1"/>
  <c r="G17" i="1"/>
  <c r="K15" i="1"/>
  <c r="J15" i="1"/>
  <c r="H15" i="1"/>
  <c r="G15" i="1"/>
  <c r="H13" i="1"/>
  <c r="G13" i="1"/>
  <c r="K12" i="1"/>
  <c r="H12" i="1"/>
</calcChain>
</file>

<file path=xl/sharedStrings.xml><?xml version="1.0" encoding="utf-8"?>
<sst xmlns="http://schemas.openxmlformats.org/spreadsheetml/2006/main" count="81" uniqueCount="57">
  <si>
    <t>unit</t>
  </si>
  <si>
    <t>NE</t>
  </si>
  <si>
    <t>ME</t>
  </si>
  <si>
    <t>SE</t>
  </si>
  <si>
    <t>NC</t>
  </si>
  <si>
    <t>MC</t>
  </si>
  <si>
    <t>SC</t>
  </si>
  <si>
    <t>Notes</t>
  </si>
  <si>
    <t>sponsor</t>
  </si>
  <si>
    <t>Bolke 2019</t>
  </si>
  <si>
    <t>CM 825</t>
  </si>
  <si>
    <t>AU</t>
  </si>
  <si>
    <t>Not micrometer</t>
  </si>
  <si>
    <t>Industry</t>
  </si>
  <si>
    <t>CM820</t>
  </si>
  <si>
    <t>industry</t>
  </si>
  <si>
    <t>Nometo 2020</t>
  </si>
  <si>
    <t>CM825</t>
  </si>
  <si>
    <t>Ito 2018</t>
  </si>
  <si>
    <t>CM Series</t>
  </si>
  <si>
    <t>koizuma 2018</t>
  </si>
  <si>
    <t>shugihara2015</t>
  </si>
  <si>
    <t>schwarz 2019</t>
  </si>
  <si>
    <t>MoistureMeterSC</t>
  </si>
  <si>
    <t>zmitek 2020</t>
  </si>
  <si>
    <t>SkinLab Combo hydration probe</t>
  </si>
  <si>
    <t>Not Industry</t>
  </si>
  <si>
    <t>choi 2014</t>
  </si>
  <si>
    <t>Asserin 2015</t>
  </si>
  <si>
    <t xml:space="preserve">CM Device </t>
  </si>
  <si>
    <t>Extracted from fig? 2x</t>
  </si>
  <si>
    <t>di cerbo 2015</t>
  </si>
  <si>
    <t>skin tester device</t>
  </si>
  <si>
    <t>Unclear</t>
  </si>
  <si>
    <t>Used SEM, needed correction</t>
  </si>
  <si>
    <t>jung 2020</t>
  </si>
  <si>
    <t>Moisture Meter D</t>
  </si>
  <si>
    <t>percent</t>
  </si>
  <si>
    <t>mixed up percentages</t>
  </si>
  <si>
    <t>kim 2018</t>
  </si>
  <si>
    <t>miyanga 2021</t>
  </si>
  <si>
    <t xml:space="preserve">CM device </t>
  </si>
  <si>
    <t>percentage nonsese</t>
  </si>
  <si>
    <t>not</t>
  </si>
  <si>
    <t>tak 2021</t>
  </si>
  <si>
    <t>yoon 2014</t>
  </si>
  <si>
    <t>original paper not sig, sig in analysis because authors fuck up %</t>
  </si>
  <si>
    <t>Inoue 2016</t>
  </si>
  <si>
    <t>study</t>
  </si>
  <si>
    <t>dose</t>
  </si>
  <si>
    <t>Time</t>
  </si>
  <si>
    <t>method</t>
  </si>
  <si>
    <t>ma1</t>
  </si>
  <si>
    <t>ma2</t>
  </si>
  <si>
    <t xml:space="preserve">Used SEM, needed correction; assumption made of first order delta correction for conversion </t>
  </si>
  <si>
    <t>cap_method</t>
  </si>
  <si>
    <t>not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</si>
</sst>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D521E-0511-4EE3-88FC-0E25F3D8BD72}">
  <dimension ref="A1:Q17"/>
  <sheetViews>
    <sheetView tabSelected="1" workbookViewId="0">
      <selection activeCell="P13" sqref="P13"/>
    </sheetView>
  </sheetViews>
  <sheetFormatPr defaultRowHeight="14.4" x14ac:dyDescent="0.3"/>
  <cols>
    <col min="1" max="1" width="23.5546875" customWidth="1"/>
    <col min="2" max="2" width="18" customWidth="1"/>
    <col min="3" max="3" width="12.77734375" customWidth="1"/>
    <col min="12" max="12" width="41.21875" customWidth="1"/>
  </cols>
  <sheetData>
    <row r="1" spans="1:17" x14ac:dyDescent="0.3">
      <c r="A1" t="s">
        <v>48</v>
      </c>
      <c r="B1" t="s">
        <v>51</v>
      </c>
      <c r="C1" t="s">
        <v>49</v>
      </c>
      <c r="D1" t="s">
        <v>0</v>
      </c>
      <c r="E1" t="s">
        <v>50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52</v>
      </c>
      <c r="O1" t="s">
        <v>53</v>
      </c>
      <c r="P1" t="s">
        <v>55</v>
      </c>
    </row>
    <row r="2" spans="1:17" x14ac:dyDescent="0.3">
      <c r="A2" t="s">
        <v>9</v>
      </c>
      <c r="B2" t="s">
        <v>10</v>
      </c>
      <c r="C2">
        <v>2.5</v>
      </c>
      <c r="D2" t="s">
        <v>11</v>
      </c>
      <c r="E2">
        <v>12</v>
      </c>
      <c r="F2">
        <v>36</v>
      </c>
      <c r="G2">
        <v>44.5</v>
      </c>
      <c r="H2">
        <v>4.4000000000000004</v>
      </c>
      <c r="I2">
        <v>36</v>
      </c>
      <c r="J2">
        <v>36.6</v>
      </c>
      <c r="K2">
        <v>5.7</v>
      </c>
      <c r="L2" t="s">
        <v>12</v>
      </c>
      <c r="M2" t="s">
        <v>13</v>
      </c>
      <c r="N2">
        <v>1</v>
      </c>
      <c r="O2">
        <v>1</v>
      </c>
      <c r="P2">
        <v>1</v>
      </c>
    </row>
    <row r="3" spans="1:17" x14ac:dyDescent="0.3">
      <c r="A3" t="s">
        <v>47</v>
      </c>
      <c r="B3" t="s">
        <v>14</v>
      </c>
      <c r="C3">
        <v>5</v>
      </c>
      <c r="E3">
        <v>8</v>
      </c>
      <c r="F3">
        <v>54</v>
      </c>
      <c r="G3">
        <v>33.53</v>
      </c>
      <c r="H3">
        <v>12.42</v>
      </c>
      <c r="I3">
        <v>26</v>
      </c>
      <c r="J3">
        <v>25.42</v>
      </c>
      <c r="K3">
        <v>14.88</v>
      </c>
      <c r="M3" t="s">
        <v>15</v>
      </c>
      <c r="N3">
        <v>1</v>
      </c>
      <c r="O3">
        <v>1</v>
      </c>
      <c r="P3">
        <v>1</v>
      </c>
    </row>
    <row r="4" spans="1:17" x14ac:dyDescent="0.3">
      <c r="A4" t="s">
        <v>16</v>
      </c>
      <c r="B4" t="s">
        <v>17</v>
      </c>
      <c r="C4">
        <v>10</v>
      </c>
      <c r="E4">
        <v>8</v>
      </c>
      <c r="F4">
        <v>20</v>
      </c>
      <c r="G4">
        <v>51.7</v>
      </c>
      <c r="H4">
        <v>6.5</v>
      </c>
      <c r="I4">
        <v>19</v>
      </c>
      <c r="J4">
        <v>41.4</v>
      </c>
      <c r="K4">
        <v>9.8000000000000007</v>
      </c>
      <c r="M4" t="s">
        <v>15</v>
      </c>
      <c r="N4">
        <v>1</v>
      </c>
      <c r="O4">
        <v>1</v>
      </c>
      <c r="P4">
        <v>1</v>
      </c>
    </row>
    <row r="5" spans="1:17" x14ac:dyDescent="0.3">
      <c r="A5" t="s">
        <v>18</v>
      </c>
      <c r="B5" t="s">
        <v>19</v>
      </c>
      <c r="C5">
        <v>10</v>
      </c>
      <c r="E5">
        <v>8</v>
      </c>
      <c r="F5">
        <v>9</v>
      </c>
      <c r="G5">
        <v>60.3</v>
      </c>
      <c r="H5">
        <v>8.1999999999999993</v>
      </c>
      <c r="I5">
        <v>11</v>
      </c>
      <c r="J5">
        <v>60.9</v>
      </c>
      <c r="K5">
        <v>10.7</v>
      </c>
      <c r="M5" t="s">
        <v>15</v>
      </c>
      <c r="N5">
        <v>1</v>
      </c>
      <c r="O5">
        <v>1</v>
      </c>
      <c r="P5">
        <v>1</v>
      </c>
    </row>
    <row r="6" spans="1:17" x14ac:dyDescent="0.3">
      <c r="A6" t="s">
        <v>20</v>
      </c>
      <c r="B6" t="s">
        <v>17</v>
      </c>
      <c r="C6">
        <v>3</v>
      </c>
      <c r="E6">
        <v>12</v>
      </c>
      <c r="F6">
        <v>37</v>
      </c>
      <c r="G6">
        <v>55.237000000000002</v>
      </c>
      <c r="H6">
        <v>9.1669999999999998</v>
      </c>
      <c r="I6">
        <v>34</v>
      </c>
      <c r="J6">
        <v>51.58</v>
      </c>
      <c r="K6">
        <v>7.7</v>
      </c>
      <c r="L6" t="s">
        <v>54</v>
      </c>
      <c r="M6" t="s">
        <v>15</v>
      </c>
      <c r="N6">
        <v>1</v>
      </c>
      <c r="O6">
        <v>1</v>
      </c>
      <c r="P6">
        <v>1</v>
      </c>
    </row>
    <row r="7" spans="1:17" x14ac:dyDescent="0.3">
      <c r="A7" t="s">
        <v>21</v>
      </c>
      <c r="B7" t="s">
        <v>14</v>
      </c>
      <c r="C7">
        <v>2.5</v>
      </c>
      <c r="E7">
        <v>8</v>
      </c>
      <c r="F7">
        <v>26</v>
      </c>
      <c r="G7">
        <v>73.98</v>
      </c>
      <c r="H7">
        <v>8.86</v>
      </c>
      <c r="I7">
        <v>27</v>
      </c>
      <c r="J7">
        <v>70.849999999999994</v>
      </c>
      <c r="K7">
        <v>10.199999999999999</v>
      </c>
      <c r="M7" t="s">
        <v>15</v>
      </c>
      <c r="N7">
        <v>1</v>
      </c>
      <c r="O7">
        <v>1</v>
      </c>
      <c r="P7">
        <v>1</v>
      </c>
    </row>
    <row r="8" spans="1:17" x14ac:dyDescent="0.3">
      <c r="A8" t="s">
        <v>22</v>
      </c>
      <c r="B8" t="s">
        <v>23</v>
      </c>
      <c r="C8">
        <v>0.3</v>
      </c>
      <c r="E8">
        <v>12</v>
      </c>
      <c r="F8">
        <v>58</v>
      </c>
      <c r="G8">
        <v>61.31</v>
      </c>
      <c r="H8">
        <v>24.53</v>
      </c>
      <c r="I8">
        <v>55</v>
      </c>
      <c r="J8">
        <v>62.08</v>
      </c>
      <c r="K8">
        <v>28.41</v>
      </c>
      <c r="M8" t="s">
        <v>15</v>
      </c>
      <c r="N8">
        <v>1</v>
      </c>
      <c r="O8">
        <v>1</v>
      </c>
      <c r="P8">
        <v>1</v>
      </c>
    </row>
    <row r="9" spans="1:17" x14ac:dyDescent="0.3">
      <c r="A9" t="s">
        <v>24</v>
      </c>
      <c r="B9" t="s">
        <v>25</v>
      </c>
      <c r="C9">
        <v>4</v>
      </c>
      <c r="E9">
        <v>12</v>
      </c>
      <c r="F9">
        <v>16</v>
      </c>
      <c r="G9">
        <v>200</v>
      </c>
      <c r="H9">
        <v>52.3</v>
      </c>
      <c r="I9">
        <v>15</v>
      </c>
      <c r="J9">
        <v>194.1</v>
      </c>
      <c r="K9">
        <v>44.4</v>
      </c>
      <c r="L9" t="s">
        <v>56</v>
      </c>
      <c r="M9" t="s">
        <v>26</v>
      </c>
      <c r="N9">
        <v>1</v>
      </c>
      <c r="O9">
        <v>1</v>
      </c>
      <c r="P9">
        <v>0</v>
      </c>
    </row>
    <row r="10" spans="1:17" x14ac:dyDescent="0.3">
      <c r="A10" t="s">
        <v>27</v>
      </c>
      <c r="B10" t="s">
        <v>19</v>
      </c>
      <c r="C10">
        <v>3</v>
      </c>
      <c r="E10">
        <v>12</v>
      </c>
      <c r="F10">
        <v>8</v>
      </c>
      <c r="G10">
        <v>71.09</v>
      </c>
      <c r="H10">
        <v>13.22</v>
      </c>
      <c r="I10">
        <v>8</v>
      </c>
      <c r="J10">
        <v>61.3</v>
      </c>
      <c r="K10">
        <v>10.48</v>
      </c>
      <c r="M10" t="s">
        <v>26</v>
      </c>
      <c r="N10">
        <v>1</v>
      </c>
      <c r="O10">
        <v>1</v>
      </c>
      <c r="P10">
        <v>1</v>
      </c>
    </row>
    <row r="11" spans="1:17" x14ac:dyDescent="0.3">
      <c r="A11" t="s">
        <v>28</v>
      </c>
      <c r="B11" t="s">
        <v>29</v>
      </c>
      <c r="C11">
        <v>10</v>
      </c>
      <c r="D11" t="s">
        <v>11</v>
      </c>
      <c r="E11">
        <v>8</v>
      </c>
      <c r="F11">
        <v>11</v>
      </c>
      <c r="G11">
        <v>65.28</v>
      </c>
      <c r="H11">
        <v>5.9329999999999998</v>
      </c>
      <c r="I11">
        <v>11</v>
      </c>
      <c r="J11">
        <v>52.91</v>
      </c>
      <c r="K11">
        <v>6.5670000000000002</v>
      </c>
      <c r="L11" t="s">
        <v>30</v>
      </c>
      <c r="M11" t="s">
        <v>13</v>
      </c>
      <c r="N11">
        <v>0</v>
      </c>
      <c r="O11">
        <v>1</v>
      </c>
      <c r="P11">
        <v>1</v>
      </c>
    </row>
    <row r="12" spans="1:17" x14ac:dyDescent="0.3">
      <c r="A12" t="s">
        <v>31</v>
      </c>
      <c r="B12" t="s">
        <v>32</v>
      </c>
      <c r="C12">
        <v>0.248</v>
      </c>
      <c r="D12" t="s">
        <v>33</v>
      </c>
      <c r="E12">
        <v>2</v>
      </c>
      <c r="F12">
        <v>15</v>
      </c>
      <c r="G12">
        <v>61.98</v>
      </c>
      <c r="H12">
        <f>3.368*SQRT(15)</f>
        <v>13.04420791002658</v>
      </c>
      <c r="I12">
        <v>15</v>
      </c>
      <c r="J12">
        <v>55.56</v>
      </c>
      <c r="K12">
        <f>3.368*SQRT(15)</f>
        <v>13.04420791002658</v>
      </c>
      <c r="L12" t="s">
        <v>34</v>
      </c>
      <c r="M12" t="s">
        <v>26</v>
      </c>
      <c r="N12">
        <v>0</v>
      </c>
      <c r="O12">
        <v>1</v>
      </c>
      <c r="P12">
        <v>0</v>
      </c>
    </row>
    <row r="13" spans="1:17" x14ac:dyDescent="0.3">
      <c r="A13" t="s">
        <v>35</v>
      </c>
      <c r="B13" t="s">
        <v>36</v>
      </c>
      <c r="C13">
        <v>1</v>
      </c>
      <c r="D13" t="s">
        <v>37</v>
      </c>
      <c r="E13">
        <v>12</v>
      </c>
      <c r="F13">
        <v>24</v>
      </c>
      <c r="G13">
        <f>39.32+2.71</f>
        <v>42.03</v>
      </c>
      <c r="H13">
        <f>5.41+3.19</f>
        <v>8.6</v>
      </c>
      <c r="I13">
        <v>20</v>
      </c>
      <c r="J13">
        <v>39.82</v>
      </c>
      <c r="K13">
        <v>6.67</v>
      </c>
      <c r="L13" t="s">
        <v>38</v>
      </c>
      <c r="M13" t="s">
        <v>15</v>
      </c>
      <c r="N13">
        <v>0</v>
      </c>
      <c r="O13">
        <v>1</v>
      </c>
      <c r="P13">
        <v>1</v>
      </c>
    </row>
    <row r="14" spans="1:17" x14ac:dyDescent="0.3">
      <c r="A14" t="s">
        <v>39</v>
      </c>
      <c r="B14" t="s">
        <v>10</v>
      </c>
      <c r="C14">
        <v>1</v>
      </c>
      <c r="D14" t="s">
        <v>11</v>
      </c>
      <c r="E14">
        <v>12</v>
      </c>
      <c r="F14">
        <v>33</v>
      </c>
      <c r="G14">
        <v>61.14</v>
      </c>
      <c r="H14">
        <v>11.31</v>
      </c>
      <c r="I14">
        <v>31</v>
      </c>
      <c r="J14">
        <v>53.02</v>
      </c>
      <c r="K14">
        <v>13.59</v>
      </c>
      <c r="M14" t="s">
        <v>15</v>
      </c>
      <c r="N14">
        <v>0</v>
      </c>
      <c r="O14">
        <v>1</v>
      </c>
      <c r="P14">
        <v>1</v>
      </c>
    </row>
    <row r="15" spans="1:17" x14ac:dyDescent="0.3">
      <c r="A15" t="s">
        <v>40</v>
      </c>
      <c r="B15" t="s">
        <v>41</v>
      </c>
      <c r="C15">
        <v>5</v>
      </c>
      <c r="D15" t="s">
        <v>11</v>
      </c>
      <c r="E15">
        <v>12</v>
      </c>
      <c r="F15">
        <v>33</v>
      </c>
      <c r="G15">
        <f>27.86*1.16131</f>
        <v>32.354096599999998</v>
      </c>
      <c r="H15">
        <f>7.04*1.1131</f>
        <v>7.8362239999999996</v>
      </c>
      <c r="I15">
        <v>33</v>
      </c>
      <c r="J15">
        <f>28*1.06315</f>
        <v>29.7682</v>
      </c>
      <c r="K15">
        <f>1.07405*7.39</f>
        <v>7.937229499999999</v>
      </c>
      <c r="L15" t="s">
        <v>42</v>
      </c>
      <c r="M15" t="s">
        <v>15</v>
      </c>
      <c r="N15">
        <v>0</v>
      </c>
      <c r="O15">
        <v>1</v>
      </c>
      <c r="P15">
        <v>1</v>
      </c>
      <c r="Q15" t="s">
        <v>43</v>
      </c>
    </row>
    <row r="16" spans="1:17" x14ac:dyDescent="0.3">
      <c r="A16" t="s">
        <v>44</v>
      </c>
      <c r="B16" t="s">
        <v>10</v>
      </c>
      <c r="C16">
        <v>1</v>
      </c>
      <c r="E16">
        <v>12</v>
      </c>
      <c r="F16">
        <v>36</v>
      </c>
      <c r="G16">
        <v>212.1</v>
      </c>
      <c r="H16">
        <v>16</v>
      </c>
      <c r="I16">
        <v>38</v>
      </c>
      <c r="J16">
        <v>209</v>
      </c>
      <c r="K16">
        <v>18.7</v>
      </c>
      <c r="M16" t="s">
        <v>15</v>
      </c>
      <c r="N16">
        <v>0</v>
      </c>
      <c r="O16">
        <v>1</v>
      </c>
      <c r="P16">
        <v>1</v>
      </c>
      <c r="Q16" t="s">
        <v>43</v>
      </c>
    </row>
    <row r="17" spans="1:17" x14ac:dyDescent="0.3">
      <c r="A17" t="s">
        <v>45</v>
      </c>
      <c r="B17" t="s">
        <v>19</v>
      </c>
      <c r="C17">
        <v>0.75</v>
      </c>
      <c r="E17">
        <v>12</v>
      </c>
      <c r="F17">
        <v>22</v>
      </c>
      <c r="G17">
        <f>46 + 16.289</f>
        <v>62.289000000000001</v>
      </c>
      <c r="H17">
        <f>14 + 2.875</f>
        <v>16.875</v>
      </c>
      <c r="I17">
        <v>22</v>
      </c>
      <c r="J17">
        <f>44.5 + 12.883</f>
        <v>57.382999999999996</v>
      </c>
      <c r="K17">
        <f>13.2 + 2.094</f>
        <v>15.293999999999999</v>
      </c>
      <c r="L17" t="s">
        <v>46</v>
      </c>
      <c r="M17" t="s">
        <v>15</v>
      </c>
      <c r="N17">
        <v>0</v>
      </c>
      <c r="O17">
        <v>1</v>
      </c>
      <c r="P17">
        <v>1</v>
      </c>
      <c r="Q1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DRG</dc:creator>
  <cp:lastModifiedBy>DRG</cp:lastModifiedBy>
  <dcterms:created xsi:type="dcterms:W3CDTF">2025-05-19T15:05:10Z</dcterms:created>
  <dcterms:modified xsi:type="dcterms:W3CDTF">2026-09-10T12:49:33Z</dcterms:modified>
</cp:coreProperties>
</file>